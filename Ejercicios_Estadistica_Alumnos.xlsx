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Proyectos/cursos_activos/inserta_once/big_data/materias/matematicas/analisis_estadistico/"/>
    </mc:Choice>
  </mc:AlternateContent>
  <xr:revisionPtr revIDLastSave="0" documentId="13_ncr:1_{8512908E-4487-1D40-B8B5-182874257AA5}" xr6:coauthVersionLast="47" xr6:coauthVersionMax="47" xr10:uidLastSave="{00000000-0000-0000-0000-000000000000}"/>
  <bookViews>
    <workbookView xWindow="0" yWindow="660" windowWidth="30240" windowHeight="18220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'4_Probabilidad'!$D$6:$D$8</definedName>
    <definedName name="_xlchart.v1.3" hidden="1">'4_Probabilidad'!$E$6:$E$8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5" l="1"/>
  <c r="F6" i="5" s="1"/>
  <c r="G6" i="5" s="1"/>
  <c r="E8" i="5"/>
  <c r="F8" i="5" s="1"/>
  <c r="G8" i="5" s="1"/>
  <c r="E7" i="5"/>
  <c r="F7" i="5" s="1"/>
  <c r="G7" i="5" s="1"/>
  <c r="E3" i="5"/>
  <c r="E13" i="4"/>
  <c r="E14" i="4"/>
  <c r="E15" i="4"/>
  <c r="E16" i="4"/>
  <c r="E12" i="4"/>
  <c r="E7" i="4"/>
  <c r="E6" i="4"/>
  <c r="E5" i="4"/>
  <c r="F5" i="3"/>
  <c r="F8" i="3"/>
  <c r="F7" i="3"/>
  <c r="F6" i="3"/>
  <c r="E8" i="2"/>
  <c r="E7" i="2"/>
  <c r="E6" i="2"/>
  <c r="E5" i="2"/>
  <c r="F9" i="5" l="1"/>
  <c r="G9" i="5" s="1"/>
  <c r="E9" i="5"/>
</calcChain>
</file>

<file path=xl/sharedStrings.xml><?xml version="1.0" encoding="utf-8"?>
<sst xmlns="http://schemas.openxmlformats.org/spreadsheetml/2006/main" count="572" uniqueCount="154">
  <si>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</si>
  <si>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</si>
  <si>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</si>
  <si>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</si>
  <si>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</si>
  <si>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</si>
  <si>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</si>
  <si>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</si>
  <si>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</si>
  <si>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</si>
  <si>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</si>
  <si>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</si>
  <si>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</si>
  <si>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</si>
  <si>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</si>
  <si>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</si>
  <si>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</si>
  <si>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</si>
  <si>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</si>
  <si>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</si>
  <si>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</si>
  <si>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</si>
  <si>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</si>
  <si>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</si>
  <si>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</si>
  <si>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</si>
  <si>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</si>
  <si>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</si>
  <si>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</si>
  <si>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</si>
  <si>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</si>
  <si>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</si>
  <si>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</si>
  <si>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</si>
  <si>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</si>
  <si>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</si>
  <si>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</si>
  <si>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</si>
  <si>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</si>
  <si>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</si>
  <si>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</si>
  <si>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</si>
  <si>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</si>
  <si>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</si>
  <si>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</si>
  <si>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</si>
  <si>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</si>
  <si>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</si>
  <si>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</si>
  <si>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</si>
  <si>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</si>
  <si>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</si>
  <si>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</si>
  <si>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</si>
  <si>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</si>
  <si>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</si>
  <si>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</si>
  <si>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</si>
  <si>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</si>
  <si>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</si>
  <si>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</si>
  <si>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</si>
  <si>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</si>
  <si>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</si>
  <si>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</si>
  <si>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</si>
  <si>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</si>
  <si>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</si>
  <si>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</si>
  <si>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</si>
  <si>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</si>
  <si>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</si>
  <si>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</si>
  <si>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</si>
  <si>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</si>
  <si>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</si>
  <si>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</si>
  <si>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</si>
  <si>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</si>
  <si>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</si>
  <si>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</si>
  <si>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</si>
  <si>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</si>
  <si>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</si>
  <si>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</si>
  <si>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</si>
  <si>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</si>
  <si>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</si>
  <si>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</si>
  <si>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</si>
  <si>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</si>
  <si>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</si>
  <si>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</si>
  <si>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</si>
  <si>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</si>
  <si>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</si>
  <si>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</si>
  <si>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</si>
  <si>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</si>
  <si>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</si>
  <si>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</si>
  <si>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</si>
  <si>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</si>
  <si>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</si>
  <si>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</si>
  <si>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</si>
  <si>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</si>
  <si>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</si>
  <si>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</si>
  <si>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</si>
  <si>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</si>
  <si>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</si>
  <si>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</si>
  <si>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</si>
  <si>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</si>
  <si>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</si>
  <si>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</si>
  <si>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</si>
  <si>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</si>
  <si>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</si>
  <si>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</si>
  <si>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</si>
  <si>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</si>
  <si>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</si>
  <si>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</si>
  <si>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</si>
  <si>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</si>
  <si>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</si>
  <si>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</si>
  <si>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</si>
  <si>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</si>
  <si>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</si>
  <si>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</si>
  <si>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</si>
  <si>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</si>
  <si>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</si>
  <si>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</si>
  <si>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</si>
  <si>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</si>
  <si>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</si>
  <si>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</si>
  <si>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</si>
  <si>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</si>
  <si>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</si>
  <si>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</si>
  <si>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</si>
  <si>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</si>
  <si>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</si>
  <si>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</si>
  <si>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</si>
  <si>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</si>
  <si>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parececidas, esto implica mucho outliners, valores extremos sobre todo todo en la parte alta que distorsionan la media</t>
  </si>
  <si>
    <t>el ticket medio de nuestra tienda es 35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</si>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</sst>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Dispersión: Coste vs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312489063867016E-2"/>
          <c:y val="0.19483814523184603"/>
          <c:w val="0.87120844269466313"/>
          <c:h val="0.72094889180519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D1-DA4B-9F51-2AC2D738B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201024"/>
        <c:axId val="519094720"/>
      </c:scatterChart>
      <c:valAx>
        <c:axId val="45620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9094720"/>
        <c:crosses val="autoZero"/>
        <c:crossBetween val="midCat"/>
      </c:valAx>
      <c:valAx>
        <c:axId val="5190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620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Distribucción de Satisfacción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17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E3-0F4D-8B24-1E8058214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7"/>
        <c:axId val="524661440"/>
        <c:axId val="524649792"/>
      </c:barChart>
      <c:catAx>
        <c:axId val="52466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4649792"/>
        <c:crosses val="autoZero"/>
        <c:auto val="1"/>
        <c:lblAlgn val="ctr"/>
        <c:lblOffset val="100"/>
        <c:noMultiLvlLbl val="0"/>
      </c:catAx>
      <c:valAx>
        <c:axId val="5246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466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Probabilidad /Ventas por canal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50"/>
      <c:hPercent val="100"/>
      <c:rotY val="0"/>
      <c:depthPercent val="10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 prstMaterial="metal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78-4E4F-8B58-A5B5968817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8C78-4E4F-8B58-A5B59688176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'4_Probabilidad'!$D$6:$D$8</c:f>
              <c:strCache>
                <c:ptCount val="3"/>
                <c:pt idx="0">
                  <c:v>App</c:v>
                </c:pt>
                <c:pt idx="1">
                  <c:v>Web</c:v>
                </c:pt>
                <c:pt idx="2">
                  <c:v>Tienda</c:v>
                </c:pt>
              </c:strCache>
            </c:strRef>
          </c:cat>
          <c:val>
            <c:numRef>
              <c:f>'4_Probabilidad'!$E$6:$E$8</c:f>
              <c:numCache>
                <c:formatCode>General</c:formatCode>
                <c:ptCount val="3"/>
                <c:pt idx="0">
                  <c:v>11</c:v>
                </c:pt>
                <c:pt idx="1">
                  <c:v>17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8-4E4F-8B58-A5B596881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 prstMaterial="dkEdge"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49CBF06-2D9B-FB48-96BF-095B9EE0F8C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2056</xdr:colOff>
      <xdr:row>11</xdr:row>
      <xdr:rowOff>14088</xdr:rowOff>
    </xdr:from>
    <xdr:to>
      <xdr:col>7</xdr:col>
      <xdr:colOff>460696</xdr:colOff>
      <xdr:row>25</xdr:row>
      <xdr:rowOff>93887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5692A52-AF2D-E096-9BEC-0C1945AEFB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6456" y="2160388"/>
              <a:ext cx="4573440" cy="2746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52851</xdr:colOff>
      <xdr:row>12</xdr:row>
      <xdr:rowOff>32500</xdr:rowOff>
    </xdr:from>
    <xdr:to>
      <xdr:col>7</xdr:col>
      <xdr:colOff>483547</xdr:colOff>
      <xdr:row>26</xdr:row>
      <xdr:rowOff>125266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DE7392-201F-4371-A9B1-B5D76E1F22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1173386</xdr:colOff>
      <xdr:row>19</xdr:row>
      <xdr:rowOff>11375</xdr:rowOff>
    </xdr:from>
    <xdr:to>
      <xdr:col>7</xdr:col>
      <xdr:colOff>447226</xdr:colOff>
      <xdr:row>33</xdr:row>
      <xdr:rowOff>136661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5715B2D-046B-49FE-0BCF-03A7C1BA5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8589</xdr:colOff>
      <xdr:row>17</xdr:row>
      <xdr:rowOff>189825</xdr:rowOff>
    </xdr:from>
    <xdr:to>
      <xdr:col>6</xdr:col>
      <xdr:colOff>230686</xdr:colOff>
      <xdr:row>32</xdr:row>
      <xdr:rowOff>80126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8E43A-68D3-F54C-41C4-FD3381208C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6DA87-2E3F-E746-8DEB-EBB0A3A138E2}" name="Tabla1" displayName="Tabla1" ref="A1:N43" totalsRowShown="0" headerRowDxfId="2" headerRowBorderDxfId="1" tableBorderDxfId="0">
  <autoFilter ref="A1:N43" xr:uid="{E676DA87-2E3F-E746-8DEB-EBB0A3A138E2}"/>
  <tableColumns count="14">
    <tableColumn id="1" xr3:uid="{26D470CC-E5AA-4348-9460-96D5EFC4DB1E}" name="ID_Venta"/>
    <tableColumn id="2" xr3:uid="{FE993127-7F97-BD41-953F-77B8033BD5D1}" name="Fecha"/>
    <tableColumn id="3" xr3:uid="{673C1234-03BF-244D-8281-83FA862CBA6C}" name="Producto"/>
    <tableColumn id="4" xr3:uid="{CE5BEC10-5201-904E-95DB-1E6142DB006F}" name="Categoría"/>
    <tableColumn id="5" xr3:uid="{9A849799-0BF3-6846-A1D5-41987B4C96D3}" name="Unidades"/>
    <tableColumn id="6" xr3:uid="{F45D335E-10A1-084C-8EB7-C3F28E54C1AD}" name="Precio_Unitario"/>
    <tableColumn id="7" xr3:uid="{107591FF-B401-464B-981D-EEAAA9529E4B}" name="Ciudad"/>
    <tableColumn id="8" xr3:uid="{47F38C4D-F1F5-C04A-B40E-4D25E11D90C2}" name="Canal"/>
    <tableColumn id="9" xr3:uid="{04A571EB-F1E1-BF4F-9CF2-44A128B37E11}" name="Valoración"/>
    <tableColumn id="10" xr3:uid="{B1A0E6CA-3F1D-744D-802F-BB647FC7F717}" name="Ingresos"/>
    <tableColumn id="11" xr3:uid="{D5F2F345-DA4B-7140-9BB1-542587C7B105}" name="Coste"/>
    <tableColumn id="12" xr3:uid="{7B44BF3E-72B4-F94C-B893-06D468B4A133}" name="Beneficio"/>
    <tableColumn id="13" xr3:uid="{40370B9E-7AEC-FC40-994E-15F17556796D}" name="Vendedor"/>
    <tableColumn id="14" xr3:uid="{4779B0E5-D868-3544-A152-CBE33F5DD4B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tabSelected="1" workbookViewId="0">
      <pane ySplit="1" topLeftCell="A2" activePane="bottomLeft" state="frozen"/>
      <selection pane="bottomLeft" activeCell="R14" sqref="R14"/>
    </sheetView>
  </sheetViews>
  <sheetFormatPr baseColWidth="10" defaultColWidth="8.83203125" defaultRowHeight="15" x14ac:dyDescent="0.2"/>
  <cols>
    <col min="1" max="1" width="10.6640625" customWidth="1"/>
    <col min="3" max="3" width="10.6640625" customWidth="1"/>
    <col min="4" max="4" width="10.83203125" customWidth="1"/>
    <col min="5" max="5" width="10.6640625" customWidth="1"/>
    <col min="6" max="6" width="15.6640625" customWidth="1"/>
    <col min="9" max="9" width="11.83203125" customWidth="1"/>
    <col min="10" max="10" width="9.83203125" customWidth="1"/>
    <col min="12" max="12" width="10.83203125" customWidth="1"/>
    <col min="13" max="13" width="11.33203125" customWidth="1"/>
    <col min="14" max="14" width="12.33203125" customWidth="1"/>
  </cols>
  <sheetData>
    <row r="1" spans="1:14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2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2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2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2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2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2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2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2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2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2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2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2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2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2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2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2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2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2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2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2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2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2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2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2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2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2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2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2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2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2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2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2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2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2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2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2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2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2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2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2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2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2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A3" zoomScale="132" zoomScaleNormal="132" workbookViewId="0">
      <selection activeCell="J10" sqref="J10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120</v>
      </c>
    </row>
    <row r="4" spans="1:5" x14ac:dyDescent="0.2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2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2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2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2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2">
      <c r="A9" t="s">
        <v>60</v>
      </c>
      <c r="B9">
        <v>35</v>
      </c>
    </row>
    <row r="10" spans="1:5" x14ac:dyDescent="0.2">
      <c r="A10" t="s">
        <v>61</v>
      </c>
      <c r="B10">
        <v>250</v>
      </c>
    </row>
    <row r="11" spans="1:5" x14ac:dyDescent="0.2">
      <c r="A11" t="s">
        <v>62</v>
      </c>
      <c r="B11">
        <v>45</v>
      </c>
      <c r="D11" s="5" t="s">
        <v>127</v>
      </c>
    </row>
    <row r="12" spans="1:5" x14ac:dyDescent="0.2">
      <c r="A12" t="s">
        <v>63</v>
      </c>
      <c r="B12">
        <v>15</v>
      </c>
    </row>
    <row r="13" spans="1:5" x14ac:dyDescent="0.2">
      <c r="A13" t="s">
        <v>64</v>
      </c>
      <c r="B13">
        <v>90</v>
      </c>
    </row>
    <row r="14" spans="1:5" x14ac:dyDescent="0.2">
      <c r="A14" t="s">
        <v>65</v>
      </c>
      <c r="B14">
        <v>65</v>
      </c>
    </row>
    <row r="15" spans="1:5" x14ac:dyDescent="0.2">
      <c r="A15" t="s">
        <v>66</v>
      </c>
      <c r="B15">
        <v>28</v>
      </c>
    </row>
    <row r="16" spans="1:5" x14ac:dyDescent="0.2">
      <c r="A16" t="s">
        <v>67</v>
      </c>
      <c r="B16">
        <v>55</v>
      </c>
    </row>
    <row r="17" spans="1:4" x14ac:dyDescent="0.2">
      <c r="A17" t="s">
        <v>68</v>
      </c>
      <c r="B17">
        <v>20</v>
      </c>
    </row>
    <row r="18" spans="1:4" x14ac:dyDescent="0.2">
      <c r="A18" t="s">
        <v>69</v>
      </c>
      <c r="B18">
        <v>42</v>
      </c>
    </row>
    <row r="19" spans="1:4" x14ac:dyDescent="0.2">
      <c r="A19" t="s">
        <v>70</v>
      </c>
      <c r="B19">
        <v>8</v>
      </c>
    </row>
    <row r="20" spans="1:4" x14ac:dyDescent="0.2">
      <c r="A20" t="s">
        <v>71</v>
      </c>
      <c r="B20">
        <v>12</v>
      </c>
    </row>
    <row r="21" spans="1:4" x14ac:dyDescent="0.2">
      <c r="A21" t="s">
        <v>72</v>
      </c>
      <c r="B21">
        <v>18</v>
      </c>
    </row>
    <row r="22" spans="1:4" x14ac:dyDescent="0.2">
      <c r="A22" t="s">
        <v>73</v>
      </c>
      <c r="B22">
        <v>95</v>
      </c>
    </row>
    <row r="23" spans="1:4" x14ac:dyDescent="0.2">
      <c r="A23" t="s">
        <v>74</v>
      </c>
      <c r="B23">
        <v>45</v>
      </c>
    </row>
    <row r="24" spans="1:4" x14ac:dyDescent="0.2">
      <c r="A24" t="s">
        <v>75</v>
      </c>
      <c r="B24">
        <v>60</v>
      </c>
    </row>
    <row r="25" spans="1:4" x14ac:dyDescent="0.2">
      <c r="A25" t="s">
        <v>76</v>
      </c>
      <c r="B25">
        <v>10</v>
      </c>
    </row>
    <row r="26" spans="1:4" x14ac:dyDescent="0.2">
      <c r="A26" t="s">
        <v>77</v>
      </c>
      <c r="B26">
        <v>35</v>
      </c>
    </row>
    <row r="27" spans="1:4" x14ac:dyDescent="0.2">
      <c r="A27" t="s">
        <v>78</v>
      </c>
      <c r="B27">
        <v>15</v>
      </c>
    </row>
    <row r="28" spans="1:4" x14ac:dyDescent="0.2">
      <c r="A28" t="s">
        <v>79</v>
      </c>
      <c r="B28">
        <v>18</v>
      </c>
    </row>
    <row r="29" spans="1:4" x14ac:dyDescent="0.2">
      <c r="A29" t="s">
        <v>80</v>
      </c>
      <c r="B29">
        <v>120</v>
      </c>
      <c r="D29" t="s">
        <v>150</v>
      </c>
    </row>
    <row r="30" spans="1:4" x14ac:dyDescent="0.2">
      <c r="A30" t="s">
        <v>81</v>
      </c>
      <c r="B30">
        <v>6</v>
      </c>
      <c r="D30" t="s">
        <v>151</v>
      </c>
    </row>
    <row r="31" spans="1:4" x14ac:dyDescent="0.2">
      <c r="A31" t="s">
        <v>82</v>
      </c>
      <c r="B31">
        <v>12</v>
      </c>
      <c r="D31" t="s">
        <v>152</v>
      </c>
    </row>
    <row r="32" spans="1:4" x14ac:dyDescent="0.2">
      <c r="A32" t="s">
        <v>83</v>
      </c>
      <c r="B32">
        <v>30</v>
      </c>
    </row>
    <row r="33" spans="1:2" x14ac:dyDescent="0.2">
      <c r="A33" t="s">
        <v>84</v>
      </c>
      <c r="B33">
        <v>25</v>
      </c>
    </row>
    <row r="34" spans="1:2" x14ac:dyDescent="0.2">
      <c r="A34" t="s">
        <v>85</v>
      </c>
      <c r="B34">
        <v>22</v>
      </c>
    </row>
    <row r="35" spans="1:2" x14ac:dyDescent="0.2">
      <c r="A35" t="s">
        <v>86</v>
      </c>
      <c r="B35">
        <v>8</v>
      </c>
    </row>
    <row r="36" spans="1:2" x14ac:dyDescent="0.2">
      <c r="A36" t="s">
        <v>87</v>
      </c>
      <c r="B36">
        <v>28</v>
      </c>
    </row>
    <row r="37" spans="1:2" x14ac:dyDescent="0.2">
      <c r="A37" t="s">
        <v>88</v>
      </c>
      <c r="B37">
        <v>20</v>
      </c>
    </row>
    <row r="38" spans="1:2" x14ac:dyDescent="0.2">
      <c r="A38" t="s">
        <v>89</v>
      </c>
      <c r="B38">
        <v>150</v>
      </c>
    </row>
    <row r="39" spans="1:2" x14ac:dyDescent="0.2">
      <c r="A39" t="s">
        <v>90</v>
      </c>
      <c r="B39">
        <v>300</v>
      </c>
    </row>
    <row r="40" spans="1:2" x14ac:dyDescent="0.2">
      <c r="A40" t="s">
        <v>91</v>
      </c>
      <c r="B40">
        <v>85</v>
      </c>
    </row>
    <row r="41" spans="1:2" x14ac:dyDescent="0.2">
      <c r="A41" t="s">
        <v>92</v>
      </c>
      <c r="B41">
        <v>50</v>
      </c>
    </row>
    <row r="42" spans="1:2" x14ac:dyDescent="0.2">
      <c r="A42" t="s">
        <v>93</v>
      </c>
      <c r="B42">
        <v>40</v>
      </c>
    </row>
    <row r="43" spans="1:2" x14ac:dyDescent="0.2">
      <c r="A43" t="s">
        <v>94</v>
      </c>
      <c r="B43">
        <v>35</v>
      </c>
    </row>
    <row r="44" spans="1:2" x14ac:dyDescent="0.2">
      <c r="A44" t="s">
        <v>95</v>
      </c>
      <c r="B44">
        <v>130</v>
      </c>
    </row>
    <row r="45" spans="1:2" x14ac:dyDescent="0.2">
      <c r="A45" t="s">
        <v>95</v>
      </c>
      <c r="B45">
        <v>130</v>
      </c>
    </row>
    <row r="46" spans="1:2" x14ac:dyDescent="0.2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zoomScale="161" zoomScaleNormal="161" workbookViewId="0">
      <selection activeCell="C39" sqref="C39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5" max="5" width="20.6640625" customWidth="1"/>
    <col min="6" max="6" width="24.83203125" customWidth="1"/>
  </cols>
  <sheetData>
    <row r="1" spans="1:6" ht="19" x14ac:dyDescent="0.25">
      <c r="A1" s="1" t="s">
        <v>128</v>
      </c>
    </row>
    <row r="4" spans="1:6" x14ac:dyDescent="0.2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2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2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2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2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2">
      <c r="A9" t="s">
        <v>60</v>
      </c>
      <c r="B9">
        <v>15</v>
      </c>
      <c r="C9">
        <v>20</v>
      </c>
    </row>
    <row r="10" spans="1:6" x14ac:dyDescent="0.2">
      <c r="A10" t="s">
        <v>61</v>
      </c>
      <c r="B10">
        <v>180</v>
      </c>
      <c r="C10">
        <v>70</v>
      </c>
    </row>
    <row r="11" spans="1:6" x14ac:dyDescent="0.2">
      <c r="A11" t="s">
        <v>62</v>
      </c>
      <c r="B11">
        <v>20</v>
      </c>
      <c r="C11">
        <v>25</v>
      </c>
      <c r="E11" s="5" t="s">
        <v>132</v>
      </c>
    </row>
    <row r="12" spans="1:6" x14ac:dyDescent="0.2">
      <c r="A12" t="s">
        <v>63</v>
      </c>
      <c r="B12">
        <v>18</v>
      </c>
      <c r="C12">
        <v>27</v>
      </c>
    </row>
    <row r="13" spans="1:6" x14ac:dyDescent="0.2">
      <c r="A13" t="s">
        <v>64</v>
      </c>
      <c r="B13">
        <v>50</v>
      </c>
      <c r="C13">
        <v>40</v>
      </c>
    </row>
    <row r="14" spans="1:6" x14ac:dyDescent="0.2">
      <c r="A14" t="s">
        <v>65</v>
      </c>
      <c r="B14">
        <v>70</v>
      </c>
      <c r="C14">
        <v>60</v>
      </c>
    </row>
    <row r="15" spans="1:6" x14ac:dyDescent="0.2">
      <c r="A15" t="s">
        <v>66</v>
      </c>
      <c r="B15">
        <v>12</v>
      </c>
      <c r="C15">
        <v>30</v>
      </c>
    </row>
    <row r="16" spans="1:6" x14ac:dyDescent="0.2">
      <c r="A16" t="s">
        <v>67</v>
      </c>
      <c r="B16">
        <v>25</v>
      </c>
      <c r="C16">
        <v>30</v>
      </c>
    </row>
    <row r="17" spans="1:3" x14ac:dyDescent="0.2">
      <c r="A17" t="s">
        <v>68</v>
      </c>
      <c r="B17">
        <v>32</v>
      </c>
      <c r="C17">
        <v>48</v>
      </c>
    </row>
    <row r="18" spans="1:3" x14ac:dyDescent="0.2">
      <c r="A18" t="s">
        <v>69</v>
      </c>
      <c r="B18">
        <v>18</v>
      </c>
      <c r="C18">
        <v>24</v>
      </c>
    </row>
    <row r="19" spans="1:3" x14ac:dyDescent="0.2">
      <c r="A19" t="s">
        <v>70</v>
      </c>
      <c r="B19">
        <v>15</v>
      </c>
      <c r="C19">
        <v>25</v>
      </c>
    </row>
    <row r="20" spans="1:3" x14ac:dyDescent="0.2">
      <c r="A20" t="s">
        <v>71</v>
      </c>
      <c r="B20">
        <v>15</v>
      </c>
      <c r="C20">
        <v>21</v>
      </c>
    </row>
    <row r="21" spans="1:3" x14ac:dyDescent="0.2">
      <c r="A21" t="s">
        <v>72</v>
      </c>
      <c r="B21">
        <v>16</v>
      </c>
      <c r="C21">
        <v>20</v>
      </c>
    </row>
    <row r="22" spans="1:3" x14ac:dyDescent="0.2">
      <c r="A22" t="s">
        <v>73</v>
      </c>
      <c r="B22">
        <v>55</v>
      </c>
      <c r="C22">
        <v>40</v>
      </c>
    </row>
    <row r="23" spans="1:3" x14ac:dyDescent="0.2">
      <c r="A23" t="s">
        <v>74</v>
      </c>
      <c r="B23">
        <v>20</v>
      </c>
      <c r="C23">
        <v>25</v>
      </c>
    </row>
    <row r="24" spans="1:3" x14ac:dyDescent="0.2">
      <c r="A24" t="s">
        <v>75</v>
      </c>
      <c r="B24">
        <v>35</v>
      </c>
      <c r="C24">
        <v>25</v>
      </c>
    </row>
    <row r="25" spans="1:3" x14ac:dyDescent="0.2">
      <c r="A25" t="s">
        <v>76</v>
      </c>
      <c r="B25">
        <v>16</v>
      </c>
      <c r="C25">
        <v>24</v>
      </c>
    </row>
    <row r="26" spans="1:3" x14ac:dyDescent="0.2">
      <c r="A26" t="s">
        <v>77</v>
      </c>
      <c r="B26">
        <v>15</v>
      </c>
      <c r="C26">
        <v>20</v>
      </c>
    </row>
    <row r="27" spans="1:3" x14ac:dyDescent="0.2">
      <c r="A27" t="s">
        <v>78</v>
      </c>
      <c r="B27">
        <v>12</v>
      </c>
      <c r="C27">
        <v>18</v>
      </c>
    </row>
    <row r="28" spans="1:3" x14ac:dyDescent="0.2">
      <c r="A28" t="s">
        <v>79</v>
      </c>
      <c r="B28">
        <v>8</v>
      </c>
      <c r="C28">
        <v>10</v>
      </c>
    </row>
    <row r="29" spans="1:3" x14ac:dyDescent="0.2">
      <c r="A29" t="s">
        <v>80</v>
      </c>
      <c r="B29">
        <v>70</v>
      </c>
      <c r="C29">
        <v>50</v>
      </c>
    </row>
    <row r="30" spans="1:3" x14ac:dyDescent="0.2">
      <c r="A30" t="s">
        <v>81</v>
      </c>
      <c r="B30">
        <v>15</v>
      </c>
      <c r="C30">
        <v>15</v>
      </c>
    </row>
    <row r="31" spans="1:3" x14ac:dyDescent="0.2">
      <c r="A31" t="s">
        <v>82</v>
      </c>
      <c r="B31">
        <v>15</v>
      </c>
      <c r="C31">
        <v>21</v>
      </c>
    </row>
    <row r="32" spans="1:3" x14ac:dyDescent="0.2">
      <c r="A32" t="s">
        <v>83</v>
      </c>
      <c r="B32">
        <v>14</v>
      </c>
      <c r="C32">
        <v>16</v>
      </c>
    </row>
    <row r="33" spans="1:3" x14ac:dyDescent="0.2">
      <c r="A33" t="s">
        <v>84</v>
      </c>
      <c r="B33">
        <v>22</v>
      </c>
      <c r="C33">
        <v>28</v>
      </c>
    </row>
    <row r="34" spans="1:3" x14ac:dyDescent="0.2">
      <c r="A34" t="s">
        <v>85</v>
      </c>
      <c r="B34">
        <v>10</v>
      </c>
      <c r="C34">
        <v>12</v>
      </c>
    </row>
    <row r="35" spans="1:3" x14ac:dyDescent="0.2">
      <c r="A35" t="s">
        <v>86</v>
      </c>
      <c r="B35">
        <v>6</v>
      </c>
      <c r="C35">
        <v>10</v>
      </c>
    </row>
    <row r="36" spans="1:3" x14ac:dyDescent="0.2">
      <c r="A36" t="s">
        <v>87</v>
      </c>
      <c r="B36">
        <v>12</v>
      </c>
      <c r="C36">
        <v>16</v>
      </c>
    </row>
    <row r="37" spans="1:3" x14ac:dyDescent="0.2">
      <c r="A37" t="s">
        <v>88</v>
      </c>
      <c r="B37">
        <v>9</v>
      </c>
      <c r="C37">
        <v>11</v>
      </c>
    </row>
    <row r="38" spans="1:3" x14ac:dyDescent="0.2">
      <c r="A38" t="s">
        <v>89</v>
      </c>
      <c r="B38">
        <v>90</v>
      </c>
      <c r="C38">
        <v>60</v>
      </c>
    </row>
    <row r="39" spans="1:3" x14ac:dyDescent="0.2">
      <c r="A39" t="s">
        <v>90</v>
      </c>
      <c r="B39">
        <v>180</v>
      </c>
      <c r="C39">
        <v>120</v>
      </c>
    </row>
    <row r="40" spans="1:3" x14ac:dyDescent="0.2">
      <c r="A40" t="s">
        <v>91</v>
      </c>
      <c r="B40">
        <v>45</v>
      </c>
      <c r="C40">
        <v>40</v>
      </c>
    </row>
    <row r="41" spans="1:3" x14ac:dyDescent="0.2">
      <c r="A41" t="s">
        <v>92</v>
      </c>
      <c r="B41">
        <v>25</v>
      </c>
      <c r="C41">
        <v>25</v>
      </c>
    </row>
    <row r="42" spans="1:3" x14ac:dyDescent="0.2">
      <c r="A42" t="s">
        <v>93</v>
      </c>
      <c r="B42">
        <v>18</v>
      </c>
      <c r="C42">
        <v>22</v>
      </c>
    </row>
    <row r="43" spans="1:3" x14ac:dyDescent="0.2">
      <c r="A43" t="s">
        <v>94</v>
      </c>
      <c r="B43">
        <v>30</v>
      </c>
      <c r="C43">
        <v>40</v>
      </c>
    </row>
    <row r="44" spans="1:3" x14ac:dyDescent="0.2">
      <c r="A44" t="s">
        <v>95</v>
      </c>
      <c r="B44">
        <v>80</v>
      </c>
      <c r="C44">
        <v>50</v>
      </c>
    </row>
    <row r="45" spans="1:3" x14ac:dyDescent="0.2">
      <c r="A45" t="s">
        <v>95</v>
      </c>
      <c r="B45">
        <v>80</v>
      </c>
      <c r="C45">
        <v>50</v>
      </c>
    </row>
    <row r="46" spans="1:3" x14ac:dyDescent="0.2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opLeftCell="A6" zoomScale="163" zoomScaleNormal="163" workbookViewId="0">
      <selection activeCell="I15" sqref="I15"/>
    </sheetView>
  </sheetViews>
  <sheetFormatPr baseColWidth="10" defaultColWidth="8.83203125" defaultRowHeight="15" x14ac:dyDescent="0.2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9" x14ac:dyDescent="0.25">
      <c r="A1" s="1" t="s">
        <v>133</v>
      </c>
    </row>
    <row r="4" spans="1:5" x14ac:dyDescent="0.2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2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2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2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2">
      <c r="A8" t="s">
        <v>59</v>
      </c>
      <c r="B8">
        <v>5</v>
      </c>
    </row>
    <row r="9" spans="1:5" x14ac:dyDescent="0.2">
      <c r="A9" t="s">
        <v>60</v>
      </c>
      <c r="B9">
        <v>4</v>
      </c>
    </row>
    <row r="10" spans="1:5" x14ac:dyDescent="0.2">
      <c r="A10" t="s">
        <v>61</v>
      </c>
      <c r="B10">
        <v>5</v>
      </c>
      <c r="D10" s="2" t="s">
        <v>134</v>
      </c>
    </row>
    <row r="11" spans="1:5" x14ac:dyDescent="0.2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2">
      <c r="A12" t="s">
        <v>63</v>
      </c>
      <c r="B12">
        <v>4</v>
      </c>
      <c r="D12" s="3">
        <v>1</v>
      </c>
      <c r="E12" s="4">
        <f>COUNTIF(B5:B46,D12)</f>
        <v>0</v>
      </c>
    </row>
    <row r="13" spans="1:5" x14ac:dyDescent="0.2">
      <c r="A13" t="s">
        <v>64</v>
      </c>
      <c r="B13">
        <v>5</v>
      </c>
      <c r="D13" s="3">
        <v>2</v>
      </c>
      <c r="E13" s="4">
        <f t="shared" ref="E13:E16" si="0">COUNTIF(B6:B47,D13)</f>
        <v>1</v>
      </c>
    </row>
    <row r="14" spans="1:5" x14ac:dyDescent="0.2">
      <c r="A14" t="s">
        <v>65</v>
      </c>
      <c r="B14">
        <v>4</v>
      </c>
      <c r="D14" s="3">
        <v>3</v>
      </c>
      <c r="E14" s="4">
        <f t="shared" si="0"/>
        <v>4</v>
      </c>
    </row>
    <row r="15" spans="1:5" x14ac:dyDescent="0.2">
      <c r="A15" t="s">
        <v>66</v>
      </c>
      <c r="B15">
        <v>5</v>
      </c>
      <c r="D15" s="3">
        <v>4</v>
      </c>
      <c r="E15" s="4">
        <f t="shared" si="0"/>
        <v>17</v>
      </c>
    </row>
    <row r="16" spans="1:5" x14ac:dyDescent="0.2">
      <c r="A16" t="s">
        <v>67</v>
      </c>
      <c r="B16">
        <v>2</v>
      </c>
      <c r="D16" s="3">
        <v>5</v>
      </c>
      <c r="E16" s="4">
        <f t="shared" si="0"/>
        <v>16</v>
      </c>
    </row>
    <row r="17" spans="1:4" x14ac:dyDescent="0.2">
      <c r="A17" t="s">
        <v>68</v>
      </c>
      <c r="B17">
        <v>4</v>
      </c>
    </row>
    <row r="18" spans="1:4" x14ac:dyDescent="0.2">
      <c r="A18" t="s">
        <v>69</v>
      </c>
      <c r="B18">
        <v>4</v>
      </c>
    </row>
    <row r="19" spans="1:4" x14ac:dyDescent="0.2">
      <c r="A19" t="s">
        <v>70</v>
      </c>
      <c r="B19">
        <v>5</v>
      </c>
      <c r="D19" s="5" t="s">
        <v>137</v>
      </c>
    </row>
    <row r="20" spans="1:4" x14ac:dyDescent="0.2">
      <c r="A20" t="s">
        <v>71</v>
      </c>
      <c r="B20">
        <v>5</v>
      </c>
    </row>
    <row r="21" spans="1:4" x14ac:dyDescent="0.2">
      <c r="A21" t="s">
        <v>72</v>
      </c>
      <c r="B21">
        <v>4</v>
      </c>
    </row>
    <row r="22" spans="1:4" x14ac:dyDescent="0.2">
      <c r="A22" t="s">
        <v>73</v>
      </c>
      <c r="B22">
        <v>4</v>
      </c>
    </row>
    <row r="23" spans="1:4" x14ac:dyDescent="0.2">
      <c r="A23" t="s">
        <v>74</v>
      </c>
      <c r="B23">
        <v>5</v>
      </c>
    </row>
    <row r="24" spans="1:4" x14ac:dyDescent="0.2">
      <c r="A24" t="s">
        <v>75</v>
      </c>
      <c r="B24">
        <v>3</v>
      </c>
    </row>
    <row r="25" spans="1:4" x14ac:dyDescent="0.2">
      <c r="A25" t="s">
        <v>76</v>
      </c>
      <c r="B25">
        <v>5</v>
      </c>
    </row>
    <row r="26" spans="1:4" x14ac:dyDescent="0.2">
      <c r="A26" t="s">
        <v>77</v>
      </c>
      <c r="B26">
        <v>4</v>
      </c>
    </row>
    <row r="27" spans="1:4" x14ac:dyDescent="0.2">
      <c r="A27" t="s">
        <v>78</v>
      </c>
      <c r="B27">
        <v>4</v>
      </c>
    </row>
    <row r="28" spans="1:4" x14ac:dyDescent="0.2">
      <c r="A28" t="s">
        <v>79</v>
      </c>
      <c r="B28">
        <v>3</v>
      </c>
    </row>
    <row r="29" spans="1:4" x14ac:dyDescent="0.2">
      <c r="A29" t="s">
        <v>80</v>
      </c>
      <c r="B29">
        <v>5</v>
      </c>
    </row>
    <row r="30" spans="1:4" x14ac:dyDescent="0.2">
      <c r="A30" t="s">
        <v>81</v>
      </c>
      <c r="B30">
        <v>4</v>
      </c>
    </row>
    <row r="31" spans="1:4" x14ac:dyDescent="0.2">
      <c r="A31" t="s">
        <v>82</v>
      </c>
      <c r="B31">
        <v>5</v>
      </c>
    </row>
    <row r="32" spans="1:4" x14ac:dyDescent="0.2">
      <c r="A32" t="s">
        <v>83</v>
      </c>
      <c r="B32">
        <v>4</v>
      </c>
    </row>
    <row r="33" spans="1:2" x14ac:dyDescent="0.2">
      <c r="A33" t="s">
        <v>84</v>
      </c>
      <c r="B33">
        <v>5</v>
      </c>
    </row>
    <row r="34" spans="1:2" x14ac:dyDescent="0.2">
      <c r="A34" t="s">
        <v>85</v>
      </c>
      <c r="B34">
        <v>4</v>
      </c>
    </row>
    <row r="35" spans="1:2" x14ac:dyDescent="0.2">
      <c r="A35" t="s">
        <v>86</v>
      </c>
      <c r="B35">
        <v>3</v>
      </c>
    </row>
    <row r="36" spans="1:2" x14ac:dyDescent="0.2">
      <c r="A36" t="s">
        <v>87</v>
      </c>
      <c r="B36">
        <v>4</v>
      </c>
    </row>
    <row r="37" spans="1:2" x14ac:dyDescent="0.2">
      <c r="A37" t="s">
        <v>88</v>
      </c>
      <c r="B37">
        <v>5</v>
      </c>
    </row>
    <row r="38" spans="1:2" x14ac:dyDescent="0.2">
      <c r="A38" t="s">
        <v>89</v>
      </c>
      <c r="B38">
        <v>4</v>
      </c>
    </row>
    <row r="39" spans="1:2" x14ac:dyDescent="0.2">
      <c r="A39" t="s">
        <v>90</v>
      </c>
      <c r="B39">
        <v>5</v>
      </c>
    </row>
    <row r="40" spans="1:2" x14ac:dyDescent="0.2">
      <c r="A40" t="s">
        <v>91</v>
      </c>
      <c r="B40">
        <v>4</v>
      </c>
    </row>
    <row r="41" spans="1:2" x14ac:dyDescent="0.2">
      <c r="A41" t="s">
        <v>92</v>
      </c>
      <c r="B41">
        <v>4</v>
      </c>
    </row>
    <row r="42" spans="1:2" x14ac:dyDescent="0.2">
      <c r="A42" t="s">
        <v>93</v>
      </c>
      <c r="B42">
        <v>5</v>
      </c>
    </row>
    <row r="43" spans="1:2" x14ac:dyDescent="0.2">
      <c r="A43" t="s">
        <v>94</v>
      </c>
      <c r="B43">
        <v>4</v>
      </c>
    </row>
    <row r="44" spans="1:2" x14ac:dyDescent="0.2">
      <c r="A44" t="s">
        <v>95</v>
      </c>
      <c r="B44">
        <v>5</v>
      </c>
    </row>
    <row r="45" spans="1:2" x14ac:dyDescent="0.2">
      <c r="A45" t="s">
        <v>95</v>
      </c>
      <c r="B45">
        <v>5</v>
      </c>
    </row>
    <row r="46" spans="1:2" x14ac:dyDescent="0.2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zoomScale="108" zoomScaleNormal="108" workbookViewId="0">
      <selection activeCell="B5" sqref="A5:B42"/>
    </sheetView>
  </sheetViews>
  <sheetFormatPr baseColWidth="10" defaultColWidth="8.83203125" defaultRowHeight="15" x14ac:dyDescent="0.2"/>
  <cols>
    <col min="1" max="1" width="30.6640625" customWidth="1"/>
    <col min="2" max="4" width="15.6640625" customWidth="1"/>
    <col min="5" max="7" width="20.6640625" customWidth="1"/>
  </cols>
  <sheetData>
    <row r="1" spans="1:7" ht="19" x14ac:dyDescent="0.25">
      <c r="A1" s="1" t="s">
        <v>149</v>
      </c>
    </row>
    <row r="3" spans="1:7" x14ac:dyDescent="0.2">
      <c r="D3" s="3" t="s">
        <v>148</v>
      </c>
      <c r="E3" s="4">
        <f>COUNTA(A5:A46)</f>
        <v>42</v>
      </c>
    </row>
    <row r="4" spans="1:7" x14ac:dyDescent="0.2">
      <c r="A4" s="2" t="s">
        <v>2</v>
      </c>
      <c r="B4" s="2" t="s">
        <v>7</v>
      </c>
    </row>
    <row r="5" spans="1:7" x14ac:dyDescent="0.2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2">
      <c r="A6" t="s">
        <v>57</v>
      </c>
      <c r="B6" t="s">
        <v>111</v>
      </c>
      <c r="D6" s="3" t="s">
        <v>110</v>
      </c>
      <c r="E6" s="4">
        <f>COUNTIF($B$5:$B$46,D6)</f>
        <v>11</v>
      </c>
      <c r="F6" s="7">
        <f>E6/$E$3</f>
        <v>0.26190476190476192</v>
      </c>
      <c r="G6" s="6">
        <f>F6</f>
        <v>0.26190476190476192</v>
      </c>
    </row>
    <row r="7" spans="1:7" x14ac:dyDescent="0.2">
      <c r="A7" t="s">
        <v>58</v>
      </c>
      <c r="B7" t="s">
        <v>112</v>
      </c>
      <c r="D7" s="3" t="s">
        <v>111</v>
      </c>
      <c r="E7" s="4">
        <f>COUNTIF($B$5:$B$46,D7)</f>
        <v>17</v>
      </c>
      <c r="F7" s="7">
        <f t="shared" ref="F7:F8" si="0">E7/$E$3</f>
        <v>0.40476190476190477</v>
      </c>
      <c r="G7" s="6">
        <f t="shared" ref="G7:G8" si="1">F7</f>
        <v>0.40476190476190477</v>
      </c>
    </row>
    <row r="8" spans="1:7" x14ac:dyDescent="0.2">
      <c r="A8" t="s">
        <v>59</v>
      </c>
      <c r="B8" t="s">
        <v>111</v>
      </c>
      <c r="D8" s="3" t="s">
        <v>112</v>
      </c>
      <c r="E8" s="4">
        <f>COUNTIF($B$5:$B$46,D8)</f>
        <v>14</v>
      </c>
      <c r="F8" s="7">
        <f t="shared" si="0"/>
        <v>0.33333333333333331</v>
      </c>
      <c r="G8" s="6">
        <f t="shared" si="1"/>
        <v>0.33333333333333331</v>
      </c>
    </row>
    <row r="9" spans="1:7" x14ac:dyDescent="0.2">
      <c r="A9" t="s">
        <v>60</v>
      </c>
      <c r="B9" t="s">
        <v>112</v>
      </c>
      <c r="D9" s="2" t="s">
        <v>143</v>
      </c>
      <c r="E9" s="4">
        <f>SUM(E6:E8)</f>
        <v>42</v>
      </c>
      <c r="F9" s="7">
        <f>SUM(F6:F8)</f>
        <v>1</v>
      </c>
      <c r="G9" s="6">
        <f>F9</f>
        <v>1</v>
      </c>
    </row>
    <row r="10" spans="1:7" x14ac:dyDescent="0.2">
      <c r="A10" t="s">
        <v>61</v>
      </c>
      <c r="B10" t="s">
        <v>111</v>
      </c>
    </row>
    <row r="11" spans="1:7" x14ac:dyDescent="0.2">
      <c r="A11" t="s">
        <v>62</v>
      </c>
      <c r="B11" t="s">
        <v>110</v>
      </c>
      <c r="D11" s="5" t="s">
        <v>142</v>
      </c>
    </row>
    <row r="12" spans="1:7" x14ac:dyDescent="0.2">
      <c r="A12" t="s">
        <v>63</v>
      </c>
      <c r="B12" t="s">
        <v>112</v>
      </c>
      <c r="D12" s="5" t="s">
        <v>141</v>
      </c>
    </row>
    <row r="13" spans="1:7" x14ac:dyDescent="0.2">
      <c r="A13" t="s">
        <v>64</v>
      </c>
      <c r="B13" t="s">
        <v>111</v>
      </c>
      <c r="D13" s="5" t="s">
        <v>140</v>
      </c>
    </row>
    <row r="14" spans="1:7" x14ac:dyDescent="0.2">
      <c r="A14" t="s">
        <v>65</v>
      </c>
      <c r="B14" t="s">
        <v>112</v>
      </c>
    </row>
    <row r="15" spans="1:7" x14ac:dyDescent="0.2">
      <c r="A15" t="s">
        <v>66</v>
      </c>
      <c r="B15" t="s">
        <v>110</v>
      </c>
      <c r="D15" s="5" t="s">
        <v>139</v>
      </c>
    </row>
    <row r="16" spans="1:7" x14ac:dyDescent="0.2">
      <c r="A16" t="s">
        <v>67</v>
      </c>
      <c r="B16" t="s">
        <v>111</v>
      </c>
    </row>
    <row r="17" spans="1:7" x14ac:dyDescent="0.2">
      <c r="A17" t="s">
        <v>68</v>
      </c>
      <c r="B17" t="s">
        <v>112</v>
      </c>
      <c r="D17" s="5" t="s">
        <v>138</v>
      </c>
    </row>
    <row r="18" spans="1:7" x14ac:dyDescent="0.2">
      <c r="A18" t="s">
        <v>69</v>
      </c>
      <c r="B18" t="s">
        <v>111</v>
      </c>
    </row>
    <row r="19" spans="1:7" x14ac:dyDescent="0.2">
      <c r="A19" t="s">
        <v>70</v>
      </c>
      <c r="B19" t="s">
        <v>110</v>
      </c>
    </row>
    <row r="20" spans="1:7" x14ac:dyDescent="0.2">
      <c r="A20" t="s">
        <v>71</v>
      </c>
      <c r="B20" t="s">
        <v>110</v>
      </c>
    </row>
    <row r="21" spans="1:7" x14ac:dyDescent="0.2">
      <c r="A21" t="s">
        <v>72</v>
      </c>
      <c r="B21" t="s">
        <v>112</v>
      </c>
    </row>
    <row r="22" spans="1:7" x14ac:dyDescent="0.2">
      <c r="A22" t="s">
        <v>73</v>
      </c>
      <c r="B22" t="s">
        <v>111</v>
      </c>
      <c r="G22" t="s">
        <v>153</v>
      </c>
    </row>
    <row r="23" spans="1:7" x14ac:dyDescent="0.2">
      <c r="A23" t="s">
        <v>74</v>
      </c>
      <c r="B23" t="s">
        <v>112</v>
      </c>
    </row>
    <row r="24" spans="1:7" x14ac:dyDescent="0.2">
      <c r="A24" t="s">
        <v>75</v>
      </c>
      <c r="B24" t="s">
        <v>111</v>
      </c>
    </row>
    <row r="25" spans="1:7" x14ac:dyDescent="0.2">
      <c r="A25" t="s">
        <v>76</v>
      </c>
      <c r="B25" t="s">
        <v>110</v>
      </c>
    </row>
    <row r="26" spans="1:7" x14ac:dyDescent="0.2">
      <c r="A26" t="s">
        <v>77</v>
      </c>
      <c r="B26" t="s">
        <v>112</v>
      </c>
    </row>
    <row r="27" spans="1:7" x14ac:dyDescent="0.2">
      <c r="A27" t="s">
        <v>78</v>
      </c>
      <c r="B27" t="s">
        <v>111</v>
      </c>
    </row>
    <row r="28" spans="1:7" x14ac:dyDescent="0.2">
      <c r="A28" t="s">
        <v>79</v>
      </c>
      <c r="B28" t="s">
        <v>110</v>
      </c>
    </row>
    <row r="29" spans="1:7" x14ac:dyDescent="0.2">
      <c r="A29" t="s">
        <v>80</v>
      </c>
      <c r="B29" t="s">
        <v>112</v>
      </c>
    </row>
    <row r="30" spans="1:7" x14ac:dyDescent="0.2">
      <c r="A30" t="s">
        <v>81</v>
      </c>
      <c r="B30" t="s">
        <v>111</v>
      </c>
    </row>
    <row r="31" spans="1:7" x14ac:dyDescent="0.2">
      <c r="A31" t="s">
        <v>82</v>
      </c>
      <c r="B31" t="s">
        <v>112</v>
      </c>
    </row>
    <row r="32" spans="1:7" x14ac:dyDescent="0.2">
      <c r="A32" t="s">
        <v>83</v>
      </c>
      <c r="B32" t="s">
        <v>111</v>
      </c>
    </row>
    <row r="33" spans="1:2" x14ac:dyDescent="0.2">
      <c r="A33" t="s">
        <v>84</v>
      </c>
      <c r="B33" t="s">
        <v>110</v>
      </c>
    </row>
    <row r="34" spans="1:2" x14ac:dyDescent="0.2">
      <c r="A34" t="s">
        <v>85</v>
      </c>
      <c r="B34" t="s">
        <v>112</v>
      </c>
    </row>
    <row r="35" spans="1:2" x14ac:dyDescent="0.2">
      <c r="A35" t="s">
        <v>86</v>
      </c>
      <c r="B35" t="s">
        <v>111</v>
      </c>
    </row>
    <row r="36" spans="1:2" x14ac:dyDescent="0.2">
      <c r="A36" t="s">
        <v>87</v>
      </c>
      <c r="B36" t="s">
        <v>110</v>
      </c>
    </row>
    <row r="37" spans="1:2" x14ac:dyDescent="0.2">
      <c r="A37" t="s">
        <v>88</v>
      </c>
      <c r="B37" t="s">
        <v>112</v>
      </c>
    </row>
    <row r="38" spans="1:2" x14ac:dyDescent="0.2">
      <c r="A38" t="s">
        <v>89</v>
      </c>
      <c r="B38" t="s">
        <v>111</v>
      </c>
    </row>
    <row r="39" spans="1:2" x14ac:dyDescent="0.2">
      <c r="A39" t="s">
        <v>90</v>
      </c>
      <c r="B39" t="s">
        <v>112</v>
      </c>
    </row>
    <row r="40" spans="1:2" x14ac:dyDescent="0.2">
      <c r="A40" t="s">
        <v>91</v>
      </c>
      <c r="B40" t="s">
        <v>110</v>
      </c>
    </row>
    <row r="41" spans="1:2" x14ac:dyDescent="0.2">
      <c r="A41" t="s">
        <v>92</v>
      </c>
      <c r="B41" t="s">
        <v>111</v>
      </c>
    </row>
    <row r="42" spans="1:2" x14ac:dyDescent="0.2">
      <c r="A42" t="s">
        <v>93</v>
      </c>
      <c r="B42" t="s">
        <v>112</v>
      </c>
    </row>
    <row r="43" spans="1:2" x14ac:dyDescent="0.2">
      <c r="A43" t="s">
        <v>94</v>
      </c>
      <c r="B43" t="s">
        <v>110</v>
      </c>
    </row>
    <row r="44" spans="1:2" x14ac:dyDescent="0.2">
      <c r="A44" t="s">
        <v>95</v>
      </c>
      <c r="B44" t="s">
        <v>111</v>
      </c>
    </row>
    <row r="45" spans="1:2" x14ac:dyDescent="0.2">
      <c r="A45" t="s">
        <v>95</v>
      </c>
      <c r="B45" t="s">
        <v>111</v>
      </c>
    </row>
    <row r="46" spans="1:2" x14ac:dyDescent="0.2">
      <c r="A46" t="s">
        <v>95</v>
      </c>
      <c r="B46" t="s">
        <v>111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Antonio Perez Jarillo</cp:lastModifiedBy>
  <dcterms:created xsi:type="dcterms:W3CDTF">2026-03-08T23:16:31Z</dcterms:created>
  <dcterms:modified xsi:type="dcterms:W3CDTF">2026-03-09T11:51:58Z</dcterms:modified>
</cp:coreProperties>
</file>